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5000" firstSheet="0" activeTab="0"/>
  </bookViews>
  <sheets>
    <sheet sheetId="1" name="Satışlar" state="visible" r:id="rId4"/>
    <sheet sheetId="2" name="Özet" state="visible" r:id="rId5"/>
    <sheet sheetId="3" name="Gizli" state="hidden" r:id="rId6"/>
  </sheets>
  <calcPr calcId="171027" fullCalcOnLoad="1"/>
  <pivotCaches>
    <pivotCache cacheId="1" r:id="rId7"/>
  </pivotCaches>
</workbook>
</file>

<file path=xl/sharedStrings.xml><?xml version="1.0" encoding="utf-8"?>
<sst xmlns="http://schemas.openxmlformats.org/spreadsheetml/2006/main" count="28" uniqueCount="22">
  <si>
    <t>Aylık satışlar</t>
  </si>
  <si>
    <t>Ay</t>
  </si>
  <si>
    <t>Gelir</t>
  </si>
  <si>
    <t>Gider</t>
  </si>
  <si>
    <t>Kâr</t>
  </si>
  <si>
    <t>Eğilim</t>
  </si>
  <si>
    <t>Ocak</t>
  </si>
  <si>
    <t>Şubat</t>
  </si>
  <si>
    <t>Mart</t>
  </si>
  <si>
    <t>Nisan</t>
  </si>
  <si>
    <t>Mayıs</t>
  </si>
  <si>
    <t>Toplam</t>
  </si>
  <si>
    <t>Toplam kâr</t>
  </si>
  <si>
    <t>Ortalama gelir</t>
  </si>
  <si>
    <t>Ürün</t>
  </si>
  <si>
    <t>Adet</t>
  </si>
  <si>
    <t>Çay</t>
  </si>
  <si>
    <t>Kahve</t>
  </si>
  <si>
    <t>Satır Etiketleri</t>
  </si>
  <si>
    <t>Toplam Gelir</t>
  </si>
  <si>
    <t>Genel Toplam</t>
  </si>
  <si>
    <t>gizli sayfa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</si>
</sst>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₺&quot;"/>
  </numFmts>
  <fonts count="6" x14ac:knownFonts="1">
    <font>
      <color theme="1"/>
      <family val="2"/>
      <scheme val="minor"/>
      <sz val="11"/>
      <name val="Calibri"/>
    </font>
    <font>
      <b/>
      <color rgb="FFFFFFFF"/>
      <family val="2"/>
      <scheme val="minor"/>
      <sz val="14"/>
      <name val="Calibri"/>
    </font>
    <font>
      <b/>
      <color rgb="FF006100"/>
      <family val="2"/>
      <scheme val="minor"/>
      <sz val="11"/>
      <name val="Calibri"/>
    </font>
    <font>
      <family val="2"/>
      <scheme val="minor"/>
      <sz val="11"/>
      <name val="Calibri"/>
    </font>
    <font>
      <b/>
      <i/>
      <family val="2"/>
      <scheme val="minor"/>
      <sz val="11"/>
      <name val="Calibri"/>
    </font>
    <font>
      <b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3" fillId="0" borderId="2" xfId="0" applyNumberFormat="1" applyFont="1" applyBorder="1"/>
    <xf numFmtId="0" fontId="4" fillId="0" borderId="0" xfId="0" applyFont="1"/>
    <xf numFmtId="164" fontId="5" fillId="0" borderId="3" xfId="0" applyNumberFormat="1" applyFont="1" applyBorder="1"/>
    <xf numFmtId="0" fontId="5" fillId="4" borderId="4" xfId="0" applyFont="1" applyFill="1" applyBorder="1"/>
    <xf numFmtId="164" fontId="3" fillId="0" borderId="0" xfId="0" applyNumberFormat="1" applyFont="1"/>
    <xf numFmtId="0" fontId="5" fillId="4" borderId="5" xfId="0" applyFont="1" applyFill="1" applyBorder="1"/>
    <xf numFmtId="164" fontId="5" fillId="4" borderId="5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customXml" Target="../customXml/item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c:chart>
    <c:title>
      <c:tx>
        <c:rich>
          <a:bodyPr/>
          <a:lstStyle/>
          <a:p>
            <a:pPr>
              <a:defRPr sz="1400" b="0">
                <a:solidFill>
                  <a:srgbClr val="595959"/>
                </a:solidFill>
              </a:defRPr>
            </a:pPr>
            <a:r>
              <a:rPr lang="tr-TR" sz="1400" b="0"/>
              <a:t>Gelir ve gider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Satışlar!$B$2</c:f>
              <c:strCache>
                <c:ptCount val="1"/>
                <c:pt idx="0">
                  <c:v>Gelir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</c:spPr>
          <c:invertIfNegative val="0"/>
          <c:cat>
            <c:strRef>
              <c:f>Satışlar!$A$3:$A$7</c:f>
              <c:strCache>
                <c:ptCount val="5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</c:strCache>
            </c:strRef>
          </c:cat>
          <c:val>
            <c:numRef>
              <c:f>Satışlar!$B$3:$B$7</c:f>
              <c:numCache>
                <c:formatCode>General</c:formatCode>
                <c:ptCount val="5"/>
                <c:pt idx="0">
                  <c:v>1200</c:v>
                </c:pt>
                <c:pt idx="1">
                  <c:v>1500</c:v>
                </c:pt>
                <c:pt idx="2">
                  <c:v>1100</c:v>
                </c:pt>
                <c:pt idx="3">
                  <c:v>1800</c:v>
                </c:pt>
                <c:pt idx="4">
                  <c:v>2100</c:v>
                </c:pt>
              </c:numCache>
            </c:numRef>
          </c:val>
        </c:ser>
        <c:ser>
          <c:idx val="1"/>
          <c:order val="1"/>
          <c:tx>
            <c:strRef>
              <c:f>Satışlar!$C$2</c:f>
              <c:strCache>
                <c:ptCount val="1"/>
                <c:pt idx="0">
                  <c:v>Gider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cat>
            <c:strRef>
              <c:f>Satışlar!$A$3:$A$7</c:f>
              <c:strCache>
                <c:ptCount val="5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</c:strCache>
            </c:strRef>
          </c:cat>
          <c:val>
            <c:numRef>
              <c:f>Satışlar!$C$3:$C$7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950</c:v>
                </c:pt>
                <c:pt idx="4">
                  <c:v>1200</c:v>
                </c:pt>
              </c:numCache>
            </c:numRef>
          </c:val>
        </c:ser>
        <c:gapWidth val="219"/>
        <c:overlap val="-27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tr-TR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tr-TR"/>
          </a:p>
        </c:txPr>
        <c:crossAx val="11111111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tr-TR"/>
        </a:p>
      </c:txPr>
    </c:legend>
    <c:plotVisOnly val="1"/>
    <c:dispBlanksAs val="gap"/>
  </c:chart>
  <c:spPr>
    <a:solidFill>
      <a:srgbClr val="FFFFFF"/>
    </a:solidFill>
    <a:ln w="9525">
      <a:solidFill>
        <a:srgbClr val="D9D9D9"/>
      </a:solidFill>
    </a:ln>
  </c:spPr>
  <c:txPr>
    <a:bodyPr/>
    <a:lstStyle/>
    <a:p>
      <a:pPr>
        <a:defRPr/>
      </a:pPr>
      <a:endParaRPr lang="tr-TR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 standalone="yes"?>
<xdr:wsDr xmlns:xdr="http://schemas.openxmlformats.org/drawingml/2006/spreadsheetDrawing" xmlns:a="http://schemas.openxmlformats.org/drawingml/2006/main"><xdr:oneCellAnchor editAs="oneCell"><xdr:from><xdr:col>0</xdr:col><xdr:colOff>5395</xdr:colOff><xdr:row>20</xdr:row><xdr:rowOff>35999</xdr:rowOff></xdr:from><xdr:ext cx="381000" cy="285750"/><xdr:pic><xdr:nvPicPr><xdr:cNvPr id="1" name="Picture 1"><a:extLst><a:ext uri="{FF2B5EF4-FFF2-40B4-BE49-F238E27FC236}"><a16:creationId xmlns:a16="http://schemas.microsoft.com/office/drawing/2014/main" id="{00000000-0008-0000-0000-000002000000}"/></a:ext></a:extLst></xdr:cNvPr><xdr:cNvPicPr><a:picLocks noChangeAspect="1"/></xdr:cNvPicPr></xdr:nvPicPr><xdr:blipFill><a:blip xmlns:r="http://schemas.openxmlformats.org/officeDocument/2006/relationships" r:embed="rId1" cstate="print"/><a:stretch><a:fillRect/></a:stretch></xdr:blipFill><xdr:spPr><a:xfrm><a:off x="0" y="0"/><a:ext cx="0" cy="0"/></a:xfrm><a:prstGeom prst="rect"><a:avLst/></a:prstGeom></xdr:spPr></xdr:pic><xdr:clientData/></xdr:oneCellAnchor><xdr:twoCellAnchor editAs="oneCell"><xdr:from><xdr:col>0</xdr:col><xdr:colOff>38100</xdr:colOff><xdr:row>9</xdr:row><xdr:rowOff>38100</xdr:rowOff></xdr:from><xdr:to><xdr:col>3</xdr:col><xdr:colOff>704850</xdr:colOff><xdr:row>20</xdr:row><xdr:rowOff>38100</xdr:rowOff></xdr:to><xdr:graphicFrame macro=""><xdr:nvGraphicFramePr><xdr:cNvPr id="1000" name="Grafik 1"/><xdr:cNvGraphicFramePr/></xdr:nvGraphicFramePr><xdr:xfrm><a:off x="0" y="0"/><a:ext cx="0" cy="0"/></xdr:xfrm><a:graphic><a:graphicData uri="http://schemas.openxmlformats.org/drawingml/2006/chart"><c:chart xmlns:c="http://schemas.openxmlformats.org/drawingml/2006/chart" r:id="rId2"/></a:graphicData></a:graphic></xdr:graphicFrame><xdr:clientData/></xdr:twoCellAnchor>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6" refreshedVersion="6" minRefreshableVersion="3" recordCount="0">
  <cacheSource type="worksheet">
    <worksheetSource ref="A2:C7" sheet="Satışlar"/>
  </cacheSource>
  <cacheFields count="3">
    <cacheField name="Ay" numFmtId="0">
      <sharedItems count="5">
        <s v="Mart"/>
        <s v="Mayıs"/>
        <s v="Nisan"/>
        <s v="Ocak"/>
        <s v="Şubat"/>
      </sharedItems>
    </cacheField>
    <cacheField name="Gelir" numFmtId="0">
      <sharedItems containsSemiMixedTypes="0" containsString="0" containsNumber="1" containsInteger="1" minValue="1100" maxValue="2100"/>
    </cacheField>
    <cacheField name="Gider" numFmtId="0">
      <sharedItems containsSemiMixedTypes="0" containsString="0" containsNumber="1" containsInteger="1" minValue="800" maxValue="12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ÖzetTablo1" cacheId="1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rowGrandTotals="1" colGrandTotals="1" rowHeaderCaption="Satır Etiketleri" colHeaderCaption="Sütun Etiketleri" grandTotalCaption="Genel Toplam">
  <location ref="A10:B16" firstHeaderRow="1" firstDataRow="1" firstDataCol="1"/>
  <pivotFields count="3">
    <pivotField axis="axisRow" showAll="0" sortType="ascending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0"/>
  </rowFields>
  <dataFields count="1">
    <dataField name="Toplam Gelir" fld="1" baseField="0" baseItem="0"/>
  </dataFields>
  <pivotTableStyleInfo name="PivotStyleLight16" showRowHeaders="1" showColHeaders="1" showRowStripes="0" showColStripes="0" showLastColumn="1"/>
  <extLst>
    <ext xmlns:oh="urn:officehere:tablo" uri="{6C2A9E51-3B7D-4F0A-9C1E-0FF1CE4E0A01}">
      <oh:pivotDef>{"id":"pivot2","name":"ÖzetTablo1","sourceSheet":1,"source":{"r1":1,"c1":0,"r2":6,"c2":2},"anchor":{"row":9,"col":0},"rows":[0],"cols":[],"values":[{"field":1,"fn":"sum"}],"filters":[],"subtotals":"top","grandRows":true,"grandCols":true,"layout":"compact","style":"PivotStyleLight16","rowHeaders":true,"colHeaders":true,"bandedRows":false,"bandedCols":false,"sourceSheetName":"Satışlar"}</oh:pivotDef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o1" displayName="Tablo1" ref="A4:B7" totalsRowShown="1" headerRowCount="1">
  <autoFilter ref="A4:B7">
    <filterColumn colId="0" hiddenButton="0"/>
    <filterColumn colId="1" hiddenButton="0"/>
  </autoFilter>
  <tableColumns count="2">
    <tableColumn id="1" name="Ürün"/>
    <tableColumn id="2" name="Ad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Here">
  <a:themeElements>
    <a:clrScheme name="OfficeHer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Calibri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>
      <pane ySplit="2" topLeftCell="A3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2.14" customWidth="1"/>
    <col min="2" max="4" width="13.57" customWidth="1"/>
  </cols>
  <sheetData>
    <row r="1" spans="1:4" x14ac:dyDescent="0.25">
      <c r="A1" s="1" t="s">
        <v>0</v>
      </c>
      <c r="B1" s="1"/>
      <c r="C1" s="1"/>
      <c r="D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4" x14ac:dyDescent="0.25">
      <c r="A3" t="s">
        <v>6</v>
      </c>
      <c r="B3" s="3">
        <v>1200</v>
      </c>
      <c r="C3" s="3">
        <v>800</v>
      </c>
      <c r="D3" s="3">
        <f>B3-C3</f>
        <v>400</v>
      </c>
    </row>
    <row r="4" spans="1:4" x14ac:dyDescent="0.25">
      <c r="A4" t="s">
        <v>7</v>
      </c>
      <c r="B4" s="3">
        <v>1500</v>
      </c>
      <c r="C4" s="3">
        <v>900</v>
      </c>
      <c r="D4" s="3">
        <f>B4-C4</f>
        <v>600</v>
      </c>
    </row>
    <row r="5" spans="1:4" x14ac:dyDescent="0.25">
      <c r="A5" t="s">
        <v>8</v>
      </c>
      <c r="B5" s="3">
        <v>1100</v>
      </c>
      <c r="C5" s="3">
        <v>1000</v>
      </c>
      <c r="D5" s="3">
        <f>B5-C5</f>
        <v>100</v>
      </c>
    </row>
    <row r="6" spans="1:4" x14ac:dyDescent="0.25">
      <c r="A6" t="s">
        <v>9</v>
      </c>
      <c r="B6" s="3">
        <v>1800</v>
      </c>
      <c r="C6" s="3">
        <v>950</v>
      </c>
      <c r="D6" s="3">
        <f>B6-C6</f>
        <v>850</v>
      </c>
    </row>
    <row r="7" spans="1:4" x14ac:dyDescent="0.25">
      <c r="A7" t="s">
        <v>10</v>
      </c>
      <c r="B7" s="3">
        <v>2100</v>
      </c>
      <c r="C7" s="3">
        <v>1200</v>
      </c>
      <c r="D7" s="3">
        <f>B7-C7</f>
        <v>900</v>
      </c>
    </row>
    <row r="8" spans="1:4" x14ac:dyDescent="0.25">
      <c r="A8" s="4" t="s">
        <v>11</v>
      </c>
      <c r="B8" s="5">
        <f>SUM(B3:B7)</f>
        <v>7700</v>
      </c>
      <c r="C8" s="5">
        <f>SUM(C3:C7)</f>
        <v>4850</v>
      </c>
      <c r="D8" s="5">
        <f>SUM(D3:D7)</f>
        <v>2850</v>
      </c>
    </row>
  </sheetData>
  <mergeCells count="1">
    <mergeCell ref="A1:D1"/>
  </mergeCells>
  <conditionalFormatting sqref="B3:B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{B9EEAFCA-1B8B-FAE3-7AAA-7C25A242C57B}</x14:id>
        </ext>
      </extLst>
    </cfRule>
  </conditionalFormatting>
  <conditionalFormatting sqref="D3:D7">
    <cfRule type="cellIs" dxfId="0" priority="2" operator="greaterThan">
      <formula>800</formula>
    </cfRule>
  </conditionalFormatting>
  <pageMargins left="0.7" right="0.7" top="0.75" bottom="0.75" header="0.3" footer="0.3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EEAFCA-1B8B-FAE3-7AAA-7C25A242C5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Satışlar!B3:D3</xm:f>
              <xm:sqref>E3</xm:sqref>
            </x14:sparkline>
            <x14:sparkline>
              <xm:f>Satışlar!B4:D4</xm:f>
              <xm:sqref>E4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 zoomScale="100">
      <selection activeCell="A10" sqref="A10"/>
    </sheetView>
  </sheetViews>
  <sheetFormatPr defaultRowHeight="15" outlineLevelRow="0" outlineLevelCol="0" x14ac:dyDescent="55"/>
  <cols>
    <col min="1" max="1" width="17.29" customWidth="1"/>
    <col min="2" max="2" width="13.14" customWidth="1"/>
  </cols>
  <sheetData>
    <row r="1" spans="1:2" x14ac:dyDescent="0.25">
      <c r="A1" t="s">
        <v>12</v>
      </c>
      <c r="B1">
        <f>'Satışlar'!D8</f>
        <v>2850</v>
      </c>
    </row>
    <row r="2" spans="1:2" x14ac:dyDescent="0.25">
      <c r="A2" t="s">
        <v>13</v>
      </c>
      <c r="B2">
        <f>AVERAGE('Satışlar'!B3:B7)</f>
        <v>1540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>
        <v>3</v>
      </c>
    </row>
    <row r="6" spans="1:2" x14ac:dyDescent="0.25">
      <c r="A6" t="s">
        <v>17</v>
      </c>
      <c r="B6">
        <v>5</v>
      </c>
    </row>
    <row r="7" spans="1:2" x14ac:dyDescent="0.25">
      <c r="A7" t="s">
        <v>16</v>
      </c>
      <c r="B7">
        <v>2</v>
      </c>
    </row>
    <row r="10" spans="1:2" x14ac:dyDescent="0.25">
      <c r="A10" s="6" t="s">
        <v>18</v>
      </c>
      <c r="B10" s="6" t="s">
        <v>19</v>
      </c>
    </row>
    <row r="11" spans="1:2" x14ac:dyDescent="0.25">
      <c r="A11" t="s">
        <v>8</v>
      </c>
      <c r="B11" s="7">
        <v>1100</v>
      </c>
    </row>
    <row r="12" spans="1:2" x14ac:dyDescent="0.25">
      <c r="A12" t="s">
        <v>10</v>
      </c>
      <c r="B12" s="7">
        <v>2100</v>
      </c>
    </row>
    <row r="13" spans="1:2" x14ac:dyDescent="0.25">
      <c r="A13" t="s">
        <v>9</v>
      </c>
      <c r="B13" s="7">
        <v>1800</v>
      </c>
    </row>
    <row r="14" spans="1:2" x14ac:dyDescent="0.25">
      <c r="A14" t="s">
        <v>6</v>
      </c>
      <c r="B14" s="7">
        <v>1200</v>
      </c>
    </row>
    <row r="15" spans="1:2" x14ac:dyDescent="0.25">
      <c r="A15" t="s">
        <v>7</v>
      </c>
      <c r="B15" s="7">
        <v>1500</v>
      </c>
    </row>
    <row r="16" spans="1:2" x14ac:dyDescent="0.25">
      <c r="A16" s="8" t="s">
        <v>20</v>
      </c>
      <c r="B16" s="9">
        <v>7700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>
      <selection activeCell="A1" sqref="A1"/>
    </sheetView>
  </sheetViews>
  <sheetFormatPr defaultRowHeight="15" outlineLevelRow="0" outlineLevelCol="0" x14ac:dyDescent="55"/>
  <sheetData>
    <row r="1" spans="1:1" x14ac:dyDescent="0.25">
      <c r="A1" t="s">
        <v>21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parklines xmlns="urn:officehere:tablo:sparklines:1">
  <sheet name="Satışlar">
    <group type="line" color="#376092" markers="1">
      <sparkline ref="E3" data="B3:D3"/>
      <sparkline ref="E4" data="B4:D4"/>
    </group>
  </sheet>
</sparklines>
</file>

<file path=customXml/item2.xml><?xml version="1.0" encoding="utf-8"?>
<slicers xmlns="urn:officehere:tablo:slicers:1">
  <sheet name="Özet">
    <slicer>{"name":"Dilimleyici_Ürün","caption":"Ürün","selected":[],"anchor":{"row":3,"col":2,"dx":8,"dy":8},"width":180,"height":220,"columns":1,"style":"light1","source":{"kind":"table","table":"Tablo1","column":"Ürün"}}</slicer>
  </sheet>
</slicers>
</file>

<file path=customXml/itemProps1.xml><?xml version="1.0" encoding="utf-8"?>
<ds:datastoreItem xmlns:ds="http://schemas.openxmlformats.org/officeDocument/2006/customXml" ds:itemID="{63274B21-AF35-69EE-223F-118FA27AE030}">
  <ds:schemaRefs>
    <ds:schemaRef ds:uri="urn:officehere:tablo:sparklines:1"/>
  </ds:schemaRefs>
</ds:datastoreItem>
</file>

<file path=customXml/itemProps2.xml><?xml version="1.0" encoding="utf-8"?>
<ds:datastoreItem xmlns:ds="http://schemas.openxmlformats.org/officeDocument/2006/customXml" ds:itemID="{2E26FCE2-C926-46CB-A481-B257D77A14E2}">
  <ds:schemaRefs>
    <ds:schemaRef ds:uri="urn:officehere:tablo:slicers: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Satışlar</vt:lpstr>
      <vt:lpstr>Özet</vt:lpstr>
      <vt:lpstr>Gizli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OfficeHere Tablo</dc:creator>
  <dc:title/>
  <dc:subject/>
  <dc:description/>
  <cp:keywords/>
  <cp:category/>
  <cp:lastModifiedBy>OfficeHere Tablo</cp:lastModifiedBy>
  <dcterms:created xsi:type="dcterms:W3CDTF">2026-10-13T13:00:17Z</dcterms:created>
  <dcterms:modified xsi:type="dcterms:W3CDTF">2026-10-13T13:00:17Z</dcterms:modified>
</cp:coreProperties>
</file>